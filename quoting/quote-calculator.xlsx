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ates" sheetId="2" state="visible" r:id="rId4"/>
    <sheet name="Deck Quote" sheetId="3" state="visible" r:id="rId5"/>
    <sheet name="Job Quo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Sydney typical $63–150/hr inc GST, avg ~$98 (whatsthedamage.com.au, Oct 2026). $90 ex GST = $99 inc.</t>
        </r>
      </text>
    </comment>
    <comment ref="B5" authorId="0">
      <text>
        <r>
          <rPr>
            <sz val="10"/>
            <rFont val="Arial"/>
            <family val="2"/>
          </rPr>
          <t xml:space="preserve">Added to supplier cost: covers pick-up, waste, price risk.</t>
        </r>
      </text>
    </comment>
    <comment ref="B6" authorId="0">
      <text>
        <r>
          <rPr>
            <sz val="10"/>
            <rFont val="Arial"/>
            <family val="2"/>
          </rPr>
          <t xml:space="preserve">Only applied when you tick it on the quote tab.</t>
        </r>
      </text>
    </comment>
    <comment ref="B7" authorId="0">
      <text>
        <r>
          <rPr>
            <sz val="10"/>
            <rFont val="Arial"/>
            <family val="2"/>
          </rPr>
          <t xml:space="preserve">Australian GST.</t>
        </r>
      </text>
    </comment>
    <comment ref="B8" authorId="0">
      <text>
        <r>
          <rPr>
            <sz val="10"/>
            <rFont val="Arial"/>
            <family val="2"/>
          </rPr>
          <t xml:space="preserve">NSW maximum deposit is 10% (NSW Fair Trading). Do not raise.</t>
        </r>
      </text>
    </comment>
    <comment ref="B9" authorId="0">
      <text>
        <r>
          <rPr>
            <sz val="10"/>
            <rFont val="Arial"/>
            <family val="2"/>
          </rPr>
          <t xml:space="preserve">Covers travel + first 2 hours.</t>
        </r>
      </text>
    </comment>
    <comment ref="B10" authorId="0">
      <text>
        <r>
          <rPr>
            <sz val="10"/>
            <rFont val="Arial"/>
            <family val="2"/>
          </rPr>
          <t xml:space="preserve">Ute load to tip. Use skip price for big jobs.</t>
        </r>
      </text>
    </comment>
    <comment ref="B12" authorId="0">
      <text>
        <r>
          <rPr>
            <sz val="10"/>
            <rFont val="Arial"/>
            <family val="2"/>
          </rPr>
          <t xml:space="preserve">Sydney deck framing labour typical ~$105/m2 inc GST (whatsthedamage.com.au).</t>
        </r>
      </text>
    </comment>
    <comment ref="B13" authorId="0">
      <text>
        <r>
          <rPr>
            <sz val="10"/>
            <rFont val="Arial"/>
            <family val="2"/>
          </rPr>
          <t xml:space="preserve">Estimate; check against your own hours.</t>
        </r>
      </text>
    </comment>
    <comment ref="B14" authorId="0">
      <text>
        <r>
          <rPr>
            <sz val="10"/>
            <rFont val="Arial"/>
            <family val="2"/>
          </rPr>
          <t xml:space="preserve">Estimate.</t>
        </r>
      </text>
    </comment>
    <comment ref="B15" authorId="0">
      <text>
        <r>
          <rPr>
            <sz val="10"/>
            <rFont val="Arial"/>
            <family val="2"/>
          </rPr>
          <t xml:space="preserve">Estimate.</t>
        </r>
      </text>
    </comment>
    <comment ref="B16" authorId="0">
      <text>
        <r>
          <rPr>
            <sz val="10"/>
            <rFont val="Arial"/>
            <family val="2"/>
          </rPr>
          <t xml:space="preserve">Estimate.</t>
        </r>
      </text>
    </comment>
    <comment ref="B18" authorId="0">
      <text>
        <r>
          <rPr>
            <sz val="10"/>
            <rFont val="Arial"/>
            <family val="2"/>
          </rPr>
          <t xml:space="preserve">Estimate for H3/H4 treated pine frame. Get a takeoff price from your timber yard.</t>
        </r>
      </text>
    </comment>
    <comment ref="B19" authorId="0">
      <text>
        <r>
          <rPr>
            <sz val="10"/>
            <rFont val="Arial"/>
            <family val="2"/>
          </rPr>
          <t xml:space="preserve">Longer posts, bracing.</t>
        </r>
      </text>
    </comment>
    <comment ref="B20" authorId="0">
      <text>
        <r>
          <rPr>
            <sz val="10"/>
            <rFont val="Arial"/>
            <family val="2"/>
          </rPr>
          <t xml:space="preserve">Estimate.</t>
        </r>
      </text>
    </comment>
    <comment ref="B21" authorId="0">
      <text>
        <r>
          <rPr>
            <sz val="10"/>
            <rFont val="Arial"/>
            <family val="2"/>
          </rPr>
          <t xml:space="preserve">Estimate, timber posts/rails/balusters.</t>
        </r>
      </text>
    </comment>
  </commentList>
</comments>
</file>

<file path=xl/sharedStrings.xml><?xml version="1.0" encoding="utf-8"?>
<sst xmlns="http://schemas.openxmlformats.org/spreadsheetml/2006/main" count="152" uniqueCount="117">
  <si>
    <t xml:space="preserve">Carpentry quoting calculator</t>
  </si>
  <si>
    <t xml:space="preserve">Yellow cells with blue text are the only cells you type in. Everything else calculates itself.</t>
  </si>
  <si>
    <t xml:space="preserve">1. Rates tab: set your labour rates, margin and supplier prices once. Update board prices when your supplier changes them.</t>
  </si>
  <si>
    <t xml:space="preserve">2. Deck Quote tab: type the deck size, height, board type, steps and balustrade. It gives the price, deposit and warnings.</t>
  </si>
  <si>
    <t xml:space="preserve">3. Job Quote tab: for doors, repairs and small renovations. List hours and materials at your cost; it adds margin and GST.</t>
  </si>
  <si>
    <t xml:space="preserve">4. Copy the final numbers into the ServiceM8 quote (use the matching job template).</t>
  </si>
  <si>
    <t xml:space="preserve">Warnings (red) follow NSW rules: written contract over $5,000; HBCF insurance + large job contract over $20,000;</t>
  </si>
  <si>
    <t xml:space="preserve">deposit capped at 10%; decks over 1 m high or 25 m2 usually need council/certifier approval.</t>
  </si>
  <si>
    <t xml:space="preserve">All starting prices are estimates from October 2026 research (Sydney cost guides). Replace them with your own supplier quotes.</t>
  </si>
  <si>
    <t xml:space="preserve">Example values are filled in so you can see how it works. Overwrite them for each job (save a copy per job, or just overwrite).</t>
  </si>
  <si>
    <t xml:space="preserve">Rates and prices (all ex GST)</t>
  </si>
  <si>
    <t xml:space="preserve">General</t>
  </si>
  <si>
    <t xml:space="preserve">Labour rate</t>
  </si>
  <si>
    <t xml:space="preserve">$/hour</t>
  </si>
  <si>
    <t xml:space="preserve">Sydney typical $63–150/hr inc GST, avg ~$98 (whatsthedamage.com.au, Oct 2026). $90 ex GST = $99 inc.</t>
  </si>
  <si>
    <t xml:space="preserve">Materials margin</t>
  </si>
  <si>
    <t xml:space="preserve">%</t>
  </si>
  <si>
    <t xml:space="preserve">Added to supplier cost: covers pick-up, waste, price risk.</t>
  </si>
  <si>
    <t xml:space="preserve">Contingency (old houses / hidden structure)</t>
  </si>
  <si>
    <t xml:space="preserve">Only applied when you tick it on the quote tab.</t>
  </si>
  <si>
    <t xml:space="preserve">GST</t>
  </si>
  <si>
    <t xml:space="preserve">Australian GST.</t>
  </si>
  <si>
    <t xml:space="preserve">Deposit</t>
  </si>
  <si>
    <t xml:space="preserve">NSW maximum deposit is 10% (NSW Fair Trading). Do not raise.</t>
  </si>
  <si>
    <t xml:space="preserve">Minimum charge</t>
  </si>
  <si>
    <t xml:space="preserve">$</t>
  </si>
  <si>
    <t xml:space="preserve">Covers travel + first 2 hours.</t>
  </si>
  <si>
    <t xml:space="preserve">Rubbish removal (standard)</t>
  </si>
  <si>
    <t xml:space="preserve">Ute load to tip. Use skip price for big jobs.</t>
  </si>
  <si>
    <t xml:space="preserve">Deck labour</t>
  </si>
  <si>
    <t xml:space="preserve">Framing labour</t>
  </si>
  <si>
    <t xml:space="preserve">$/m2</t>
  </si>
  <si>
    <t xml:space="preserve">Sydney deck framing labour typical ~$105/m2 inc GST (whatsthedamage.com.au).</t>
  </si>
  <si>
    <t xml:space="preserve">Board laying labour</t>
  </si>
  <si>
    <t xml:space="preserve">Estimate; check against your own hours.</t>
  </si>
  <si>
    <t xml:space="preserve">Stairs labour</t>
  </si>
  <si>
    <t xml:space="preserve">$/step</t>
  </si>
  <si>
    <t xml:space="preserve">Estimate.</t>
  </si>
  <si>
    <t xml:space="preserve">Balustrade labour</t>
  </si>
  <si>
    <t xml:space="preserve">$/lin m</t>
  </si>
  <si>
    <t xml:space="preserve">Sand &amp; oil (incl. oil)</t>
  </si>
  <si>
    <t xml:space="preserve">Deck materials (supplier cost)</t>
  </si>
  <si>
    <t xml:space="preserve">Frame materials: low deck (stirrups/footings, bearers, joists, fixings)</t>
  </si>
  <si>
    <t xml:space="preserve">Estimate for H3/H4 treated pine frame. Get a takeoff price from your timber yard.</t>
  </si>
  <si>
    <t xml:space="preserve">Extra frame materials if over 1 m high</t>
  </si>
  <si>
    <t xml:space="preserve">Longer posts, bracing.</t>
  </si>
  <si>
    <t xml:space="preserve">Stairs materials</t>
  </si>
  <si>
    <t xml:space="preserve">Balustrade materials</t>
  </si>
  <si>
    <t xml:space="preserve">Estimate, timber posts/rails/balusters.</t>
  </si>
  <si>
    <t xml:space="preserve">Decking boards: supply price (supplier cost)</t>
  </si>
  <si>
    <t xml:space="preserve">Board type</t>
  </si>
  <si>
    <t xml:space="preserve">Estimates incl. ~10% offcut waste. Update from your supplier.</t>
  </si>
  <si>
    <t xml:space="preserve">Treated pine</t>
  </si>
  <si>
    <t xml:space="preserve">Merbau</t>
  </si>
  <si>
    <t xml:space="preserve">Spotted gum</t>
  </si>
  <si>
    <t xml:space="preserve">Blackbutt</t>
  </si>
  <si>
    <t xml:space="preserve">Composite</t>
  </si>
  <si>
    <t xml:space="preserve">Site difficulty</t>
  </si>
  <si>
    <t xml:space="preserve">Labour x</t>
  </si>
  <si>
    <t xml:space="preserve">Easy (flat, good access)</t>
  </si>
  <si>
    <t xml:space="preserve">Sloped or tight access</t>
  </si>
  <si>
    <t xml:space="preserve">Difficult (steep, carry-in, demo)</t>
  </si>
  <si>
    <t xml:space="preserve">Deck quote</t>
  </si>
  <si>
    <t xml:space="preserve">Inputs</t>
  </si>
  <si>
    <t xml:space="preserve">Client / job</t>
  </si>
  <si>
    <t xml:space="preserve">Example: Smith, Marrickville</t>
  </si>
  <si>
    <t xml:space="preserve">Length (m)</t>
  </si>
  <si>
    <t xml:space="preserve">Width (m)</t>
  </si>
  <si>
    <t xml:space="preserve">Height off ground (mm)</t>
  </si>
  <si>
    <t xml:space="preserve">Number of steps</t>
  </si>
  <si>
    <t xml:space="preserve">Balustrade (lin m)</t>
  </si>
  <si>
    <t xml:space="preserve">Sand &amp; oil? (Y/N)</t>
  </si>
  <si>
    <t xml:space="preserve">Y</t>
  </si>
  <si>
    <t xml:space="preserve">Rubbish removal? (Y/N)</t>
  </si>
  <si>
    <t xml:space="preserve">Add contingency? (Y/N)</t>
  </si>
  <si>
    <t xml:space="preserve">N</t>
  </si>
  <si>
    <t xml:space="preserve">Calculation (ex GST)</t>
  </si>
  <si>
    <t xml:space="preserve">Labour</t>
  </si>
  <si>
    <t xml:space="preserve">Materials</t>
  </si>
  <si>
    <t xml:space="preserve">Deck area (m2)</t>
  </si>
  <si>
    <t xml:space="preserve">Site difficulty multiplier</t>
  </si>
  <si>
    <t xml:space="preserve">Frame</t>
  </si>
  <si>
    <t xml:space="preserve">Boards</t>
  </si>
  <si>
    <t xml:space="preserve">Stairs</t>
  </si>
  <si>
    <t xml:space="preserve">Balustrade</t>
  </si>
  <si>
    <t xml:space="preserve">Sand &amp; oil</t>
  </si>
  <si>
    <t xml:space="preserve">Rubbish removal</t>
  </si>
  <si>
    <t xml:space="preserve">Labour subtotal</t>
  </si>
  <si>
    <t xml:space="preserve">Materials at cost</t>
  </si>
  <si>
    <t xml:space="preserve">Contingency</t>
  </si>
  <si>
    <t xml:space="preserve">Price ex GST</t>
  </si>
  <si>
    <t xml:space="preserve">TOTAL inc GST</t>
  </si>
  <si>
    <t xml:space="preserve">Deposit on acceptance (10% max)</t>
  </si>
  <si>
    <t xml:space="preserve">Price per m2 inc GST</t>
  </si>
  <si>
    <t xml:space="preserve">Estimated labour hours (for scheduling)</t>
  </si>
  <si>
    <t xml:space="preserve">Checks (NSW)</t>
  </si>
  <si>
    <t xml:space="preserve">Written contract needed (over $5,000 inc GST)?</t>
  </si>
  <si>
    <t xml:space="preserve">Large job contract + HBCF insurance (over $20,000)?</t>
  </si>
  <si>
    <t xml:space="preserve">Council / certifier approval likely (over 1 m high or over 25 m2)?</t>
  </si>
  <si>
    <t xml:space="preserve">Balustrade needed (over 1 m high)?</t>
  </si>
  <si>
    <t xml:space="preserve">General job quote (doors, repairs, small renovations)</t>
  </si>
  <si>
    <t xml:space="preserve">Example: Nguyen, Newtown: 3 doors + architraves</t>
  </si>
  <si>
    <t xml:space="preserve">Item</t>
  </si>
  <si>
    <t xml:space="preserve">Type</t>
  </si>
  <si>
    <t xml:space="preserve">Qty</t>
  </si>
  <si>
    <t xml:space="preserve">Unit cost / rate ($ ex GST)</t>
  </si>
  <si>
    <t xml:space="preserve">Line total ex GST</t>
  </si>
  <si>
    <t xml:space="preserve">Remove old doors, install 3 prehung doors</t>
  </si>
  <si>
    <t xml:space="preserve">Labour hours</t>
  </si>
  <si>
    <t xml:space="preserve">3 x prehung door sets (supplier)</t>
  </si>
  <si>
    <t xml:space="preserve">Architraves + fixings</t>
  </si>
  <si>
    <t xml:space="preserve">Fixed price item</t>
  </si>
  <si>
    <t xml:space="preserve">Labour hours: leave the rate blank to use your standard rate. Materials at cost: margin is added automatically.</t>
  </si>
  <si>
    <t xml:space="preserve">Materials (incl. margin)</t>
  </si>
  <si>
    <t xml:space="preserve">Fixed price items</t>
  </si>
  <si>
    <t xml:space="preserve">Price ex GST (min. charge applies)</t>
  </si>
  <si>
    <t xml:space="preserve">Labour hours on site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</si>
</sst>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"/>
    <numFmt numFmtId="167" formatCode="0.00\x"/>
    <numFmt numFmtId="168" formatCode="0.0"/>
    <numFmt numFmtId="169" formatCode="#,##0"/>
    <numFmt numFmtId="170" formatCode="0"/>
    <numFmt numFmtId="171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10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4" t="s">
        <v>11</v>
      </c>
      <c r="B3" s="3"/>
      <c r="C3" s="3"/>
      <c r="D3" s="3"/>
    </row>
    <row r="4" customFormat="false" ht="15" hidden="false" customHeight="false" outlineLevel="0" collapsed="false">
      <c r="A4" s="2" t="s">
        <v>12</v>
      </c>
      <c r="B4" s="5" t="n">
        <v>90</v>
      </c>
      <c r="C4" s="2" t="s">
        <v>13</v>
      </c>
      <c r="D4" s="6" t="s">
        <v>14</v>
      </c>
    </row>
    <row r="5" customFormat="false" ht="15" hidden="false" customHeight="false" outlineLevel="0" collapsed="false">
      <c r="A5" s="2" t="s">
        <v>15</v>
      </c>
      <c r="B5" s="7" t="n">
        <v>0.15</v>
      </c>
      <c r="C5" s="2" t="s">
        <v>16</v>
      </c>
      <c r="D5" s="6" t="s">
        <v>17</v>
      </c>
    </row>
    <row r="6" customFormat="false" ht="15" hidden="false" customHeight="false" outlineLevel="0" collapsed="false">
      <c r="A6" s="2" t="s">
        <v>18</v>
      </c>
      <c r="B6" s="7" t="n">
        <v>0.1</v>
      </c>
      <c r="C6" s="2" t="s">
        <v>16</v>
      </c>
      <c r="D6" s="6" t="s">
        <v>19</v>
      </c>
    </row>
    <row r="7" customFormat="false" ht="15" hidden="false" customHeight="false" outlineLevel="0" collapsed="false">
      <c r="A7" s="2" t="s">
        <v>20</v>
      </c>
      <c r="B7" s="7" t="n">
        <v>0.1</v>
      </c>
      <c r="C7" s="2" t="s">
        <v>16</v>
      </c>
      <c r="D7" s="6" t="s">
        <v>21</v>
      </c>
    </row>
    <row r="8" customFormat="false" ht="15" hidden="false" customHeight="false" outlineLevel="0" collapsed="false">
      <c r="A8" s="2" t="s">
        <v>22</v>
      </c>
      <c r="B8" s="7" t="n">
        <v>0.1</v>
      </c>
      <c r="C8" s="2" t="s">
        <v>16</v>
      </c>
      <c r="D8" s="6" t="s">
        <v>23</v>
      </c>
    </row>
    <row r="9" customFormat="false" ht="15" hidden="false" customHeight="false" outlineLevel="0" collapsed="false">
      <c r="A9" s="2" t="s">
        <v>24</v>
      </c>
      <c r="B9" s="5" t="n">
        <v>180</v>
      </c>
      <c r="C9" s="2" t="s">
        <v>25</v>
      </c>
      <c r="D9" s="6" t="s">
        <v>26</v>
      </c>
    </row>
    <row r="10" customFormat="false" ht="15" hidden="false" customHeight="false" outlineLevel="0" collapsed="false">
      <c r="A10" s="2" t="s">
        <v>27</v>
      </c>
      <c r="B10" s="5" t="n">
        <v>250</v>
      </c>
      <c r="C10" s="2" t="s">
        <v>25</v>
      </c>
      <c r="D10" s="6" t="s">
        <v>28</v>
      </c>
    </row>
    <row r="11" customFormat="false" ht="15" hidden="false" customHeight="false" outlineLevel="0" collapsed="false">
      <c r="A11" s="4" t="s">
        <v>29</v>
      </c>
      <c r="B11" s="3"/>
      <c r="C11" s="3"/>
      <c r="D11" s="3"/>
    </row>
    <row r="12" customFormat="false" ht="15" hidden="false" customHeight="false" outlineLevel="0" collapsed="false">
      <c r="A12" s="2" t="s">
        <v>30</v>
      </c>
      <c r="B12" s="5" t="n">
        <v>95</v>
      </c>
      <c r="C12" s="2" t="s">
        <v>31</v>
      </c>
      <c r="D12" s="6" t="s">
        <v>32</v>
      </c>
    </row>
    <row r="13" customFormat="false" ht="15" hidden="false" customHeight="false" outlineLevel="0" collapsed="false">
      <c r="A13" s="2" t="s">
        <v>33</v>
      </c>
      <c r="B13" s="5" t="n">
        <v>55</v>
      </c>
      <c r="C13" s="2" t="s">
        <v>31</v>
      </c>
      <c r="D13" s="6" t="s">
        <v>34</v>
      </c>
    </row>
    <row r="14" customFormat="false" ht="15" hidden="false" customHeight="false" outlineLevel="0" collapsed="false">
      <c r="A14" s="2" t="s">
        <v>35</v>
      </c>
      <c r="B14" s="5" t="n">
        <v>150</v>
      </c>
      <c r="C14" s="2" t="s">
        <v>36</v>
      </c>
      <c r="D14" s="6" t="s">
        <v>37</v>
      </c>
    </row>
    <row r="15" customFormat="false" ht="15" hidden="false" customHeight="false" outlineLevel="0" collapsed="false">
      <c r="A15" s="2" t="s">
        <v>38</v>
      </c>
      <c r="B15" s="5" t="n">
        <v>180</v>
      </c>
      <c r="C15" s="2" t="s">
        <v>39</v>
      </c>
      <c r="D15" s="6" t="s">
        <v>37</v>
      </c>
    </row>
    <row r="16" customFormat="false" ht="15" hidden="false" customHeight="false" outlineLevel="0" collapsed="false">
      <c r="A16" s="2" t="s">
        <v>40</v>
      </c>
      <c r="B16" s="5" t="n">
        <v>30</v>
      </c>
      <c r="C16" s="2" t="s">
        <v>31</v>
      </c>
      <c r="D16" s="6" t="s">
        <v>37</v>
      </c>
    </row>
    <row r="17" customFormat="false" ht="15" hidden="false" customHeight="false" outlineLevel="0" collapsed="false">
      <c r="A17" s="4" t="s">
        <v>41</v>
      </c>
      <c r="B17" s="3"/>
      <c r="C17" s="3"/>
      <c r="D17" s="3"/>
    </row>
    <row r="18" customFormat="false" ht="15" hidden="false" customHeight="false" outlineLevel="0" collapsed="false">
      <c r="A18" s="2" t="s">
        <v>42</v>
      </c>
      <c r="B18" s="5" t="n">
        <v>60</v>
      </c>
      <c r="C18" s="2" t="s">
        <v>31</v>
      </c>
      <c r="D18" s="6" t="s">
        <v>43</v>
      </c>
    </row>
    <row r="19" customFormat="false" ht="15" hidden="false" customHeight="false" outlineLevel="0" collapsed="false">
      <c r="A19" s="2" t="s">
        <v>44</v>
      </c>
      <c r="B19" s="5" t="n">
        <v>25</v>
      </c>
      <c r="C19" s="2" t="s">
        <v>31</v>
      </c>
      <c r="D19" s="6" t="s">
        <v>45</v>
      </c>
    </row>
    <row r="20" customFormat="false" ht="15" hidden="false" customHeight="false" outlineLevel="0" collapsed="false">
      <c r="A20" s="2" t="s">
        <v>46</v>
      </c>
      <c r="B20" s="5" t="n">
        <v>90</v>
      </c>
      <c r="C20" s="2" t="s">
        <v>36</v>
      </c>
      <c r="D20" s="6" t="s">
        <v>37</v>
      </c>
    </row>
    <row r="21" customFormat="false" ht="15" hidden="false" customHeight="false" outlineLevel="0" collapsed="false">
      <c r="A21" s="2" t="s">
        <v>47</v>
      </c>
      <c r="B21" s="5" t="n">
        <v>150</v>
      </c>
      <c r="C21" s="2" t="s">
        <v>39</v>
      </c>
      <c r="D21" s="6" t="s">
        <v>48</v>
      </c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4" t="s">
        <v>49</v>
      </c>
      <c r="B23" s="3"/>
      <c r="C23" s="3"/>
      <c r="D23" s="3"/>
    </row>
    <row r="24" customFormat="false" ht="15" hidden="false" customHeight="false" outlineLevel="0" collapsed="false">
      <c r="A24" s="4" t="s">
        <v>50</v>
      </c>
      <c r="B24" s="4" t="s">
        <v>31</v>
      </c>
      <c r="C24" s="3"/>
      <c r="D24" s="6" t="s">
        <v>51</v>
      </c>
    </row>
    <row r="25" customFormat="false" ht="15" hidden="false" customHeight="false" outlineLevel="0" collapsed="false">
      <c r="A25" s="8" t="s">
        <v>52</v>
      </c>
      <c r="B25" s="5" t="n">
        <v>45</v>
      </c>
      <c r="C25" s="3"/>
      <c r="D25" s="3"/>
    </row>
    <row r="26" customFormat="false" ht="15" hidden="false" customHeight="false" outlineLevel="0" collapsed="false">
      <c r="A26" s="8" t="s">
        <v>53</v>
      </c>
      <c r="B26" s="5" t="n">
        <v>95</v>
      </c>
      <c r="C26" s="3"/>
      <c r="D26" s="3"/>
    </row>
    <row r="27" customFormat="false" ht="15" hidden="false" customHeight="false" outlineLevel="0" collapsed="false">
      <c r="A27" s="8" t="s">
        <v>54</v>
      </c>
      <c r="B27" s="5" t="n">
        <v>115</v>
      </c>
      <c r="C27" s="3"/>
      <c r="D27" s="3"/>
    </row>
    <row r="28" customFormat="false" ht="15" hidden="false" customHeight="false" outlineLevel="0" collapsed="false">
      <c r="A28" s="8" t="s">
        <v>55</v>
      </c>
      <c r="B28" s="5" t="n">
        <v>105</v>
      </c>
      <c r="C28" s="3"/>
      <c r="D28" s="3"/>
    </row>
    <row r="29" customFormat="false" ht="15" hidden="false" customHeight="false" outlineLevel="0" collapsed="false">
      <c r="A29" s="8" t="s">
        <v>56</v>
      </c>
      <c r="B29" s="5" t="n">
        <v>150</v>
      </c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4" t="s">
        <v>57</v>
      </c>
      <c r="B31" s="4" t="s">
        <v>58</v>
      </c>
      <c r="C31" s="3"/>
      <c r="D31" s="3"/>
    </row>
    <row r="32" customFormat="false" ht="15" hidden="false" customHeight="false" outlineLevel="0" collapsed="false">
      <c r="A32" s="8" t="s">
        <v>59</v>
      </c>
      <c r="B32" s="9" t="n">
        <v>1</v>
      </c>
      <c r="C32" s="3"/>
      <c r="D32" s="3"/>
    </row>
    <row r="33" customFormat="false" ht="15" hidden="false" customHeight="false" outlineLevel="0" collapsed="false">
      <c r="A33" s="8" t="s">
        <v>60</v>
      </c>
      <c r="B33" s="9" t="n">
        <v>1.15</v>
      </c>
      <c r="C33" s="3"/>
      <c r="D33" s="3"/>
    </row>
    <row r="34" customFormat="false" ht="15" hidden="false" customHeight="false" outlineLevel="0" collapsed="false">
      <c r="A34" s="8" t="s">
        <v>61</v>
      </c>
      <c r="B34" s="9" t="n">
        <v>1.3</v>
      </c>
      <c r="C34" s="3"/>
      <c r="D3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0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62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4" t="s">
        <v>63</v>
      </c>
      <c r="B3" s="3"/>
      <c r="C3" s="3"/>
      <c r="D3" s="3"/>
    </row>
    <row r="4" customFormat="false" ht="15" hidden="false" customHeight="false" outlineLevel="0" collapsed="false">
      <c r="A4" s="2" t="s">
        <v>64</v>
      </c>
      <c r="B4" s="8" t="s">
        <v>65</v>
      </c>
      <c r="C4" s="3"/>
      <c r="D4" s="3"/>
    </row>
    <row r="5" customFormat="false" ht="15" hidden="false" customHeight="false" outlineLevel="0" collapsed="false">
      <c r="A5" s="2" t="s">
        <v>66</v>
      </c>
      <c r="B5" s="10" t="n">
        <v>6</v>
      </c>
      <c r="C5" s="3"/>
      <c r="D5" s="3"/>
    </row>
    <row r="6" customFormat="false" ht="15" hidden="false" customHeight="false" outlineLevel="0" collapsed="false">
      <c r="A6" s="2" t="s">
        <v>67</v>
      </c>
      <c r="B6" s="10" t="n">
        <v>4</v>
      </c>
      <c r="C6" s="3"/>
      <c r="D6" s="3"/>
    </row>
    <row r="7" customFormat="false" ht="15" hidden="false" customHeight="false" outlineLevel="0" collapsed="false">
      <c r="A7" s="2" t="s">
        <v>68</v>
      </c>
      <c r="B7" s="11" t="n">
        <v>600</v>
      </c>
      <c r="C7" s="3"/>
      <c r="D7" s="3"/>
    </row>
    <row r="8" customFormat="false" ht="15" hidden="false" customHeight="false" outlineLevel="0" collapsed="false">
      <c r="A8" s="2" t="s">
        <v>50</v>
      </c>
      <c r="B8" s="8" t="s">
        <v>53</v>
      </c>
      <c r="C8" s="3"/>
      <c r="D8" s="3"/>
    </row>
    <row r="9" customFormat="false" ht="15" hidden="false" customHeight="false" outlineLevel="0" collapsed="false">
      <c r="A9" s="2" t="s">
        <v>69</v>
      </c>
      <c r="B9" s="12" t="n">
        <v>3</v>
      </c>
      <c r="C9" s="3"/>
      <c r="D9" s="3"/>
    </row>
    <row r="10" customFormat="false" ht="15" hidden="false" customHeight="false" outlineLevel="0" collapsed="false">
      <c r="A10" s="2" t="s">
        <v>70</v>
      </c>
      <c r="B10" s="10" t="n">
        <v>0</v>
      </c>
      <c r="C10" s="3"/>
      <c r="D10" s="3"/>
    </row>
    <row r="11" customFormat="false" ht="15" hidden="false" customHeight="false" outlineLevel="0" collapsed="false">
      <c r="A11" s="2" t="s">
        <v>71</v>
      </c>
      <c r="B11" s="8" t="s">
        <v>72</v>
      </c>
      <c r="C11" s="3"/>
      <c r="D11" s="3"/>
    </row>
    <row r="12" customFormat="false" ht="15" hidden="false" customHeight="false" outlineLevel="0" collapsed="false">
      <c r="A12" s="2" t="s">
        <v>73</v>
      </c>
      <c r="B12" s="8" t="s">
        <v>72</v>
      </c>
      <c r="C12" s="3"/>
      <c r="D12" s="3"/>
    </row>
    <row r="13" customFormat="false" ht="15" hidden="false" customHeight="false" outlineLevel="0" collapsed="false">
      <c r="A13" s="2" t="s">
        <v>57</v>
      </c>
      <c r="B13" s="8" t="s">
        <v>59</v>
      </c>
      <c r="C13" s="3"/>
      <c r="D13" s="3"/>
    </row>
    <row r="14" customFormat="false" ht="15" hidden="false" customHeight="false" outlineLevel="0" collapsed="false">
      <c r="A14" s="2" t="s">
        <v>74</v>
      </c>
      <c r="B14" s="8" t="s">
        <v>75</v>
      </c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4" t="s">
        <v>76</v>
      </c>
      <c r="B16" s="3"/>
      <c r="C16" s="4" t="s">
        <v>77</v>
      </c>
      <c r="D16" s="4" t="s">
        <v>78</v>
      </c>
    </row>
    <row r="17" customFormat="false" ht="15" hidden="false" customHeight="false" outlineLevel="0" collapsed="false">
      <c r="A17" s="2" t="s">
        <v>79</v>
      </c>
      <c r="B17" s="13" t="n">
        <f aca="false">B5*B6</f>
        <v>24</v>
      </c>
      <c r="C17" s="3"/>
      <c r="D17" s="3"/>
    </row>
    <row r="18" customFormat="false" ht="15" hidden="false" customHeight="false" outlineLevel="0" collapsed="false">
      <c r="A18" s="2" t="s">
        <v>80</v>
      </c>
      <c r="B18" s="14" t="n">
        <f aca="false">IFERROR(INDEX(Rates!$B$32:$B$34,MATCH(B13,Rates!$A$32:$A$34,0)),1)</f>
        <v>1</v>
      </c>
      <c r="C18" s="3"/>
      <c r="D18" s="3"/>
    </row>
    <row r="19" customFormat="false" ht="15" hidden="false" customHeight="false" outlineLevel="0" collapsed="false">
      <c r="A19" s="2" t="s">
        <v>81</v>
      </c>
      <c r="B19" s="3"/>
      <c r="C19" s="15" t="n">
        <f aca="false">B17*Rates!$B$12*B18</f>
        <v>2280</v>
      </c>
      <c r="D19" s="15" t="n">
        <f aca="false">B17*(Rates!$B$18+IF(B7&gt;1000,Rates!$B$19,0))</f>
        <v>1440</v>
      </c>
    </row>
    <row r="20" customFormat="false" ht="15" hidden="false" customHeight="false" outlineLevel="0" collapsed="false">
      <c r="A20" s="2" t="s">
        <v>82</v>
      </c>
      <c r="B20" s="3"/>
      <c r="C20" s="15" t="n">
        <f aca="false">B17*Rates!$B$13*B18</f>
        <v>1320</v>
      </c>
      <c r="D20" s="15" t="n">
        <f aca="false">B17*IFERROR(INDEX(Rates!$B$25:$B$29,MATCH(B8,Rates!$A$25:$A$29,0)),0)</f>
        <v>2280</v>
      </c>
    </row>
    <row r="21" customFormat="false" ht="15" hidden="false" customHeight="false" outlineLevel="0" collapsed="false">
      <c r="A21" s="2" t="s">
        <v>83</v>
      </c>
      <c r="B21" s="3"/>
      <c r="C21" s="15" t="n">
        <f aca="false">B9*Rates!$B$14*B18</f>
        <v>450</v>
      </c>
      <c r="D21" s="15" t="n">
        <f aca="false">B9*Rates!$B$20</f>
        <v>270</v>
      </c>
    </row>
    <row r="22" customFormat="false" ht="15" hidden="false" customHeight="false" outlineLevel="0" collapsed="false">
      <c r="A22" s="2" t="s">
        <v>84</v>
      </c>
      <c r="B22" s="3"/>
      <c r="C22" s="15" t="n">
        <f aca="false">B10*Rates!$B$15*B18</f>
        <v>0</v>
      </c>
      <c r="D22" s="15" t="n">
        <f aca="false">B10*Rates!$B$21</f>
        <v>0</v>
      </c>
    </row>
    <row r="23" customFormat="false" ht="15" hidden="false" customHeight="false" outlineLevel="0" collapsed="false">
      <c r="A23" s="2" t="s">
        <v>85</v>
      </c>
      <c r="B23" s="3"/>
      <c r="C23" s="15" t="n">
        <f aca="false">IF(B11="Y",B17*Rates!$B$16,0)</f>
        <v>720</v>
      </c>
      <c r="D23" s="3"/>
    </row>
    <row r="24" customFormat="false" ht="15" hidden="false" customHeight="false" outlineLevel="0" collapsed="false">
      <c r="A24" s="2" t="s">
        <v>86</v>
      </c>
      <c r="B24" s="3"/>
      <c r="C24" s="15" t="n">
        <f aca="false">IF(B12="Y",Rates!$B$10,0)</f>
        <v>250</v>
      </c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2" t="s">
        <v>87</v>
      </c>
      <c r="B26" s="15" t="n">
        <f aca="false">SUM(C19:C24)</f>
        <v>5020</v>
      </c>
      <c r="C26" s="3"/>
      <c r="D26" s="3"/>
    </row>
    <row r="27" customFormat="false" ht="15" hidden="false" customHeight="false" outlineLevel="0" collapsed="false">
      <c r="A27" s="2" t="s">
        <v>88</v>
      </c>
      <c r="B27" s="15" t="n">
        <f aca="false">SUM(D19:D24)</f>
        <v>3990</v>
      </c>
      <c r="C27" s="3"/>
      <c r="D27" s="3"/>
    </row>
    <row r="28" customFormat="false" ht="15" hidden="false" customHeight="false" outlineLevel="0" collapsed="false">
      <c r="A28" s="2" t="s">
        <v>15</v>
      </c>
      <c r="B28" s="15" t="n">
        <f aca="false">B27*Rates!$B$5</f>
        <v>598.5</v>
      </c>
      <c r="C28" s="3"/>
      <c r="D28" s="3"/>
    </row>
    <row r="29" customFormat="false" ht="15" hidden="false" customHeight="false" outlineLevel="0" collapsed="false">
      <c r="A29" s="2" t="s">
        <v>89</v>
      </c>
      <c r="B29" s="15" t="n">
        <f aca="false">IF(B14="Y",(B26+B27+B28)*Rates!$B$6,0)</f>
        <v>0</v>
      </c>
      <c r="C29" s="3"/>
      <c r="D29" s="3"/>
    </row>
    <row r="30" customFormat="false" ht="15" hidden="false" customHeight="false" outlineLevel="0" collapsed="false">
      <c r="A30" s="4" t="s">
        <v>90</v>
      </c>
      <c r="B30" s="16" t="n">
        <f aca="false">ROUND(B26+B27+B28+B29,0)</f>
        <v>9609</v>
      </c>
      <c r="C30" s="3"/>
      <c r="D30" s="3"/>
    </row>
    <row r="31" customFormat="false" ht="15" hidden="false" customHeight="false" outlineLevel="0" collapsed="false">
      <c r="A31" s="2" t="s">
        <v>20</v>
      </c>
      <c r="B31" s="15" t="n">
        <f aca="false">ROUND(B30*Rates!$B$7,0)</f>
        <v>961</v>
      </c>
      <c r="C31" s="3"/>
      <c r="D31" s="3"/>
    </row>
    <row r="32" customFormat="false" ht="15" hidden="false" customHeight="false" outlineLevel="0" collapsed="false">
      <c r="A32" s="4" t="s">
        <v>91</v>
      </c>
      <c r="B32" s="17" t="n">
        <f aca="false">B30+B31</f>
        <v>10570</v>
      </c>
      <c r="C32" s="3"/>
      <c r="D32" s="3"/>
    </row>
    <row r="33" customFormat="false" ht="15" hidden="false" customHeight="false" outlineLevel="0" collapsed="false">
      <c r="A33" s="4" t="s">
        <v>92</v>
      </c>
      <c r="B33" s="16" t="n">
        <f aca="false">ROUND(B32*Rates!$B$8,0)</f>
        <v>1057</v>
      </c>
      <c r="C33" s="3"/>
      <c r="D33" s="3"/>
    </row>
    <row r="34" customFormat="false" ht="15" hidden="false" customHeight="false" outlineLevel="0" collapsed="false">
      <c r="A34" s="2" t="s">
        <v>93</v>
      </c>
      <c r="B34" s="15" t="n">
        <f aca="false">IF(B17&gt;0,B32/B17,0)</f>
        <v>440.416666666667</v>
      </c>
      <c r="C34" s="3"/>
      <c r="D34" s="3"/>
    </row>
    <row r="35" customFormat="false" ht="15" hidden="false" customHeight="false" outlineLevel="0" collapsed="false">
      <c r="A35" s="2" t="s">
        <v>94</v>
      </c>
      <c r="B35" s="13" t="n">
        <f aca="false">IF(Rates!$B$4&gt;0,B26/Rates!$B$4,0)</f>
        <v>55.7777777777778</v>
      </c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4" t="s">
        <v>95</v>
      </c>
      <c r="B37" s="3"/>
      <c r="C37" s="3"/>
      <c r="D37" s="3"/>
    </row>
    <row r="38" customFormat="false" ht="15" hidden="false" customHeight="false" outlineLevel="0" collapsed="false">
      <c r="A38" s="2" t="s">
        <v>96</v>
      </c>
      <c r="B38" s="4" t="str">
        <f aca="false">IF(B32&gt;5000,"YES: small jobs contract before starting","No")</f>
        <v>YES: small jobs contract before starting</v>
      </c>
      <c r="C38" s="3"/>
      <c r="D38" s="3"/>
    </row>
    <row r="39" customFormat="false" ht="15" hidden="false" customHeight="false" outlineLevel="0" collapsed="false">
      <c r="A39" s="2" t="s">
        <v>97</v>
      </c>
      <c r="B39" s="4" t="str">
        <f aca="false">IF(B32&gt;20000,"YES: get icare HBCF cover BEFORE taking deposit","No")</f>
        <v>No</v>
      </c>
      <c r="C39" s="3"/>
      <c r="D39" s="3"/>
    </row>
    <row r="40" customFormat="false" ht="15" hidden="false" customHeight="false" outlineLevel="0" collapsed="false">
      <c r="A40" s="2" t="s">
        <v>98</v>
      </c>
      <c r="B40" s="4" t="str">
        <f aca="false">IF(OR(B7&gt;1000,B17&gt;25),"YES: check exempt development rules before quoting","No")</f>
        <v>No</v>
      </c>
      <c r="C40" s="3"/>
      <c r="D40" s="3"/>
    </row>
    <row r="41" customFormat="false" ht="15" hidden="false" customHeight="false" outlineLevel="0" collapsed="false">
      <c r="A41" s="2" t="s">
        <v>99</v>
      </c>
      <c r="B41" s="4" t="str">
        <f aca="false">IF(AND(B7&gt;1000,B10=0),"YES: add balustrade (lin m)","No")</f>
        <v>No</v>
      </c>
      <c r="C41" s="3"/>
      <c r="D41" s="3"/>
    </row>
  </sheetData>
  <conditionalFormatting sqref="B38">
    <cfRule type="expression" priority="2" aboveAverage="0" equalAverage="0" bottom="0" percent="0" rank="0" text="" dxfId="0">
      <formula>LEFT(B38,3)="YES"</formula>
    </cfRule>
  </conditionalFormatting>
  <conditionalFormatting sqref="B39">
    <cfRule type="expression" priority="3" aboveAverage="0" equalAverage="0" bottom="0" percent="0" rank="0" text="" dxfId="0">
      <formula>LEFT(B39,3)="YES"</formula>
    </cfRule>
  </conditionalFormatting>
  <conditionalFormatting sqref="B40">
    <cfRule type="expression" priority="4" aboveAverage="0" equalAverage="0" bottom="0" percent="0" rank="0" text="" dxfId="0">
      <formula>LEFT(B40,3)="YES"</formula>
    </cfRule>
  </conditionalFormatting>
  <conditionalFormatting sqref="B41">
    <cfRule type="expression" priority="5" aboveAverage="0" equalAverage="0" bottom="0" percent="0" rank="0" text="" dxfId="0">
      <formula>LEFT(B41,3)="YES"</formula>
    </cfRule>
  </conditionalFormatting>
  <dataValidations count="3">
    <dataValidation allowBlank="false" errorStyle="stop" operator="between" showDropDown="false" showErrorMessage="false" showInputMessage="false" sqref="B8" type="list">
      <formula1>Rates!$A$25:$A$29</formula1>
      <formula2>0</formula2>
    </dataValidation>
    <dataValidation allowBlank="false" errorStyle="stop" operator="between" showDropDown="false" showErrorMessage="false" showInputMessage="false" sqref="B13" type="list">
      <formula1>Rates!$A$32:$A$34</formula1>
      <formula2>0</formula2>
    </dataValidation>
    <dataValidation allowBlank="false" errorStyle="stop" operator="between" showDropDown="false" showErrorMessage="false" showInputMessage="false" sqref="B11:B12 B1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100</v>
      </c>
      <c r="B1" s="3"/>
      <c r="C1" s="3"/>
      <c r="D1" s="3"/>
      <c r="E1" s="3"/>
    </row>
    <row r="2" customFormat="false" ht="15" hidden="false" customHeight="false" outlineLevel="0" collapsed="false">
      <c r="A2" s="3"/>
      <c r="B2" s="3"/>
      <c r="C2" s="3"/>
      <c r="D2" s="3"/>
      <c r="E2" s="3"/>
    </row>
    <row r="3" customFormat="false" ht="15" hidden="false" customHeight="false" outlineLevel="0" collapsed="false">
      <c r="A3" s="3" t="s">
        <v>64</v>
      </c>
      <c r="B3" s="8" t="s">
        <v>101</v>
      </c>
      <c r="C3" s="3"/>
      <c r="D3" s="3"/>
      <c r="E3" s="3"/>
    </row>
    <row r="4" customFormat="false" ht="15" hidden="false" customHeight="false" outlineLevel="0" collapsed="false">
      <c r="A4" s="3" t="s">
        <v>74</v>
      </c>
      <c r="B4" s="8" t="s">
        <v>75</v>
      </c>
      <c r="C4" s="3"/>
      <c r="D4" s="3"/>
      <c r="E4" s="3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15" hidden="false" customHeight="false" outlineLevel="0" collapsed="false">
      <c r="A6" s="18" t="s">
        <v>102</v>
      </c>
      <c r="B6" s="18" t="s">
        <v>103</v>
      </c>
      <c r="C6" s="18" t="s">
        <v>104</v>
      </c>
      <c r="D6" s="18" t="s">
        <v>105</v>
      </c>
      <c r="E6" s="18" t="s">
        <v>106</v>
      </c>
    </row>
    <row r="7" customFormat="false" ht="15" hidden="false" customHeight="false" outlineLevel="0" collapsed="false">
      <c r="A7" s="8" t="s">
        <v>107</v>
      </c>
      <c r="B7" s="8" t="s">
        <v>108</v>
      </c>
      <c r="C7" s="8" t="n">
        <v>6</v>
      </c>
      <c r="D7" s="5"/>
      <c r="E7" s="19" t="n">
        <f aca="false">IF(B7="Labour hours",C7*IF(D7="",Rates!$B$4,D7),IF(B7="Materials at cost",C7*D7*(1+Rates!$B$5),IF(B7="Fixed price item",C7*D7,0)))</f>
        <v>540</v>
      </c>
    </row>
    <row r="8" customFormat="false" ht="15" hidden="false" customHeight="false" outlineLevel="0" collapsed="false">
      <c r="A8" s="8" t="s">
        <v>109</v>
      </c>
      <c r="B8" s="8" t="s">
        <v>88</v>
      </c>
      <c r="C8" s="8" t="n">
        <v>3</v>
      </c>
      <c r="D8" s="5" t="n">
        <v>210</v>
      </c>
      <c r="E8" s="19" t="n">
        <f aca="false">IF(B8="Labour hours",C8*IF(D8="",Rates!$B$4,D8),IF(B8="Materials at cost",C8*D8*(1+Rates!$B$5),IF(B8="Fixed price item",C8*D8,0)))</f>
        <v>724.5</v>
      </c>
    </row>
    <row r="9" customFormat="false" ht="15" hidden="false" customHeight="false" outlineLevel="0" collapsed="false">
      <c r="A9" s="8" t="s">
        <v>110</v>
      </c>
      <c r="B9" s="8" t="s">
        <v>88</v>
      </c>
      <c r="C9" s="8" t="n">
        <v>1</v>
      </c>
      <c r="D9" s="5" t="n">
        <v>120</v>
      </c>
      <c r="E9" s="19" t="n">
        <f aca="false">IF(B9="Labour hours",C9*IF(D9="",Rates!$B$4,D9),IF(B9="Materials at cost",C9*D9*(1+Rates!$B$5),IF(B9="Fixed price item",C9*D9,0)))</f>
        <v>138</v>
      </c>
    </row>
    <row r="10" customFormat="false" ht="15" hidden="false" customHeight="false" outlineLevel="0" collapsed="false">
      <c r="A10" s="8" t="s">
        <v>86</v>
      </c>
      <c r="B10" s="8" t="s">
        <v>111</v>
      </c>
      <c r="C10" s="8" t="n">
        <v>1</v>
      </c>
      <c r="D10" s="5" t="n">
        <v>250</v>
      </c>
      <c r="E10" s="19" t="n">
        <f aca="false">IF(B10="Labour hours",C10*IF(D10="",Rates!$B$4,D10),IF(B10="Materials at cost",C10*D10*(1+Rates!$B$5),IF(B10="Fixed price item",C10*D10,0)))</f>
        <v>250</v>
      </c>
    </row>
    <row r="11" customFormat="false" ht="15" hidden="false" customHeight="false" outlineLevel="0" collapsed="false">
      <c r="A11" s="8"/>
      <c r="B11" s="8"/>
      <c r="C11" s="8"/>
      <c r="D11" s="5"/>
      <c r="E11" s="19" t="n">
        <f aca="false">IF(B11="Labour hours",C11*IF(D11="",Rates!$B$4,D11),IF(B11="Materials at cost",C11*D11*(1+Rates!$B$5),IF(B11="Fixed price item",C11*D11,0)))</f>
        <v>0</v>
      </c>
    </row>
    <row r="12" customFormat="false" ht="15" hidden="false" customHeight="false" outlineLevel="0" collapsed="false">
      <c r="A12" s="8"/>
      <c r="B12" s="8"/>
      <c r="C12" s="8"/>
      <c r="D12" s="5"/>
      <c r="E12" s="19" t="n">
        <f aca="false">IF(B12="Labour hours",C12*IF(D12="",Rates!$B$4,D12),IF(B12="Materials at cost",C12*D12*(1+Rates!$B$5),IF(B12="Fixed price item",C12*D12,0)))</f>
        <v>0</v>
      </c>
    </row>
    <row r="13" customFormat="false" ht="15" hidden="false" customHeight="false" outlineLevel="0" collapsed="false">
      <c r="A13" s="8"/>
      <c r="B13" s="8"/>
      <c r="C13" s="8"/>
      <c r="D13" s="5"/>
      <c r="E13" s="19" t="n">
        <f aca="false">IF(B13="Labour hours",C13*IF(D13="",Rates!$B$4,D13),IF(B13="Materials at cost",C13*D13*(1+Rates!$B$5),IF(B13="Fixed price item",C13*D13,0)))</f>
        <v>0</v>
      </c>
    </row>
    <row r="14" customFormat="false" ht="15" hidden="false" customHeight="false" outlineLevel="0" collapsed="false">
      <c r="A14" s="8"/>
      <c r="B14" s="8"/>
      <c r="C14" s="8"/>
      <c r="D14" s="5"/>
      <c r="E14" s="19" t="n">
        <f aca="false">IF(B14="Labour hours",C14*IF(D14="",Rates!$B$4,D14),IF(B14="Materials at cost",C14*D14*(1+Rates!$B$5),IF(B14="Fixed price item",C14*D14,0)))</f>
        <v>0</v>
      </c>
    </row>
    <row r="15" customFormat="false" ht="15" hidden="false" customHeight="false" outlineLevel="0" collapsed="false">
      <c r="A15" s="8"/>
      <c r="B15" s="8"/>
      <c r="C15" s="8"/>
      <c r="D15" s="5"/>
      <c r="E15" s="19" t="n">
        <f aca="false">IF(B15="Labour hours",C15*IF(D15="",Rates!$B$4,D15),IF(B15="Materials at cost",C15*D15*(1+Rates!$B$5),IF(B15="Fixed price item",C15*D15,0)))</f>
        <v>0</v>
      </c>
    </row>
    <row r="16" customFormat="false" ht="15" hidden="false" customHeight="false" outlineLevel="0" collapsed="false">
      <c r="A16" s="8"/>
      <c r="B16" s="8"/>
      <c r="C16" s="8"/>
      <c r="D16" s="5"/>
      <c r="E16" s="19" t="n">
        <f aca="false">IF(B16="Labour hours",C16*IF(D16="",Rates!$B$4,D16),IF(B16="Materials at cost",C16*D16*(1+Rates!$B$5),IF(B16="Fixed price item",C16*D16,0)))</f>
        <v>0</v>
      </c>
    </row>
    <row r="17" customFormat="false" ht="15" hidden="false" customHeight="false" outlineLevel="0" collapsed="false">
      <c r="A17" s="8"/>
      <c r="B17" s="8"/>
      <c r="C17" s="8"/>
      <c r="D17" s="5"/>
      <c r="E17" s="19" t="n">
        <f aca="false">IF(B17="Labour hours",C17*IF(D17="",Rates!$B$4,D17),IF(B17="Materials at cost",C17*D17*(1+Rates!$B$5),IF(B17="Fixed price item",C17*D17,0)))</f>
        <v>0</v>
      </c>
    </row>
    <row r="18" customFormat="false" ht="15" hidden="false" customHeight="false" outlineLevel="0" collapsed="false">
      <c r="A18" s="8"/>
      <c r="B18" s="8"/>
      <c r="C18" s="8"/>
      <c r="D18" s="5"/>
      <c r="E18" s="19" t="n">
        <f aca="false">IF(B18="Labour hours",C18*IF(D18="",Rates!$B$4,D18),IF(B18="Materials at cost",C18*D18*(1+Rates!$B$5),IF(B18="Fixed price item",C18*D18,0)))</f>
        <v>0</v>
      </c>
    </row>
    <row r="19" customFormat="false" ht="15" hidden="false" customHeight="false" outlineLevel="0" collapsed="false">
      <c r="A19" s="8"/>
      <c r="B19" s="8"/>
      <c r="C19" s="8"/>
      <c r="D19" s="5"/>
      <c r="E19" s="19" t="n">
        <f aca="false">IF(B19="Labour hours",C19*IF(D19="",Rates!$B$4,D19),IF(B19="Materials at cost",C19*D19*(1+Rates!$B$5),IF(B19="Fixed price item",C19*D19,0)))</f>
        <v>0</v>
      </c>
    </row>
    <row r="20" customFormat="false" ht="15" hidden="false" customHeight="false" outlineLevel="0" collapsed="false">
      <c r="A20" s="8"/>
      <c r="B20" s="8"/>
      <c r="C20" s="8"/>
      <c r="D20" s="5"/>
      <c r="E20" s="19" t="n">
        <f aca="false">IF(B20="Labour hours",C20*IF(D20="",Rates!$B$4,D20),IF(B20="Materials at cost",C20*D20*(1+Rates!$B$5),IF(B20="Fixed price item",C20*D20,0)))</f>
        <v>0</v>
      </c>
    </row>
    <row r="21" customFormat="false" ht="15" hidden="false" customHeight="false" outlineLevel="0" collapsed="false">
      <c r="A21" s="8"/>
      <c r="B21" s="8"/>
      <c r="C21" s="8"/>
      <c r="D21" s="5"/>
      <c r="E21" s="19" t="n">
        <f aca="false">IF(B21="Labour hours",C21*IF(D21="",Rates!$B$4,D21),IF(B21="Materials at cost",C21*D21*(1+Rates!$B$5),IF(B21="Fixed price item",C21*D21,0)))</f>
        <v>0</v>
      </c>
    </row>
    <row r="22" customFormat="false" ht="15" hidden="false" customHeight="false" outlineLevel="0" collapsed="false">
      <c r="A22" s="6" t="s">
        <v>112</v>
      </c>
      <c r="B22" s="3"/>
      <c r="C22" s="3"/>
      <c r="D22" s="3"/>
      <c r="E22" s="3"/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false" outlineLevel="0" collapsed="false">
      <c r="A24" s="2" t="s">
        <v>77</v>
      </c>
      <c r="B24" s="15" t="n">
        <f aca="false">SUMIF(B7:B21,"Labour hours",E7:E21)</f>
        <v>540</v>
      </c>
      <c r="C24" s="3"/>
      <c r="D24" s="3"/>
      <c r="E24" s="3"/>
    </row>
    <row r="25" customFormat="false" ht="15" hidden="false" customHeight="false" outlineLevel="0" collapsed="false">
      <c r="A25" s="2" t="s">
        <v>113</v>
      </c>
      <c r="B25" s="15" t="n">
        <f aca="false">SUMIF(B7:B21,"Materials at cost",E7:E21)</f>
        <v>862.5</v>
      </c>
      <c r="C25" s="3"/>
      <c r="D25" s="3"/>
      <c r="E25" s="3"/>
    </row>
    <row r="26" customFormat="false" ht="15" hidden="false" customHeight="false" outlineLevel="0" collapsed="false">
      <c r="A26" s="2" t="s">
        <v>114</v>
      </c>
      <c r="B26" s="15" t="n">
        <f aca="false">SUMIF(B7:B21,"Fixed price item",E7:E21)</f>
        <v>250</v>
      </c>
      <c r="C26" s="3"/>
      <c r="D26" s="3"/>
      <c r="E26" s="3"/>
    </row>
    <row r="27" customFormat="false" ht="15" hidden="false" customHeight="false" outlineLevel="0" collapsed="false">
      <c r="A27" s="2" t="s">
        <v>89</v>
      </c>
      <c r="B27" s="15" t="n">
        <f aca="false">IF(B4="Y",(B24+B25+B26)*Rates!$B$6,0)</f>
        <v>0</v>
      </c>
      <c r="C27" s="3"/>
      <c r="D27" s="3"/>
      <c r="E27" s="3"/>
    </row>
    <row r="28" customFormat="false" ht="15" hidden="false" customHeight="false" outlineLevel="0" collapsed="false">
      <c r="A28" s="4" t="s">
        <v>115</v>
      </c>
      <c r="B28" s="16" t="n">
        <f aca="false">ROUND(MAX(B24+B25+B26+B27,Rates!$B$9),0)</f>
        <v>1653</v>
      </c>
      <c r="C28" s="3"/>
      <c r="D28" s="3"/>
      <c r="E28" s="3"/>
    </row>
    <row r="29" customFormat="false" ht="15" hidden="false" customHeight="false" outlineLevel="0" collapsed="false">
      <c r="A29" s="2" t="s">
        <v>20</v>
      </c>
      <c r="B29" s="15" t="n">
        <f aca="false">ROUND(B28*Rates!$B$7,0)</f>
        <v>165</v>
      </c>
      <c r="C29" s="3"/>
      <c r="D29" s="3"/>
      <c r="E29" s="3"/>
    </row>
    <row r="30" customFormat="false" ht="15" hidden="false" customHeight="false" outlineLevel="0" collapsed="false">
      <c r="A30" s="4" t="s">
        <v>91</v>
      </c>
      <c r="B30" s="17" t="n">
        <f aca="false">B28+B29</f>
        <v>1818</v>
      </c>
      <c r="C30" s="3"/>
      <c r="D30" s="3"/>
      <c r="E30" s="3"/>
    </row>
    <row r="31" customFormat="false" ht="15" hidden="false" customHeight="false" outlineLevel="0" collapsed="false">
      <c r="A31" s="4" t="s">
        <v>92</v>
      </c>
      <c r="B31" s="16" t="n">
        <f aca="false">ROUND(B30*Rates!$B$8,0)</f>
        <v>182</v>
      </c>
      <c r="C31" s="3"/>
      <c r="D31" s="3"/>
      <c r="E31" s="3"/>
    </row>
    <row r="32" customFormat="false" ht="15" hidden="false" customHeight="false" outlineLevel="0" collapsed="false">
      <c r="A32" s="2" t="s">
        <v>116</v>
      </c>
      <c r="B32" s="13" t="n">
        <f aca="false">SUMIF(B7:B21,"Labour hours",C7:C21)</f>
        <v>6</v>
      </c>
      <c r="C32" s="3"/>
      <c r="D32" s="3"/>
      <c r="E32" s="3"/>
    </row>
    <row r="33" customFormat="false" ht="15" hidden="false" customHeight="false" outlineLevel="0" collapsed="false">
      <c r="A33" s="3"/>
      <c r="B33" s="3"/>
      <c r="C33" s="3"/>
      <c r="D33" s="3"/>
      <c r="E33" s="3"/>
    </row>
    <row r="34" customFormat="false" ht="15" hidden="false" customHeight="false" outlineLevel="0" collapsed="false">
      <c r="A34" s="4" t="s">
        <v>95</v>
      </c>
      <c r="B34" s="3"/>
      <c r="C34" s="3"/>
      <c r="D34" s="3"/>
      <c r="E34" s="3"/>
    </row>
    <row r="35" customFormat="false" ht="15" hidden="false" customHeight="false" outlineLevel="0" collapsed="false">
      <c r="A35" s="2" t="s">
        <v>96</v>
      </c>
      <c r="B35" s="4" t="str">
        <f aca="false">IF(B30&gt;5000,"YES: small jobs contract before starting","No")</f>
        <v>No</v>
      </c>
      <c r="C35" s="3"/>
      <c r="D35" s="3"/>
      <c r="E35" s="3"/>
    </row>
    <row r="36" customFormat="false" ht="15" hidden="false" customHeight="false" outlineLevel="0" collapsed="false">
      <c r="A36" s="2" t="s">
        <v>97</v>
      </c>
      <c r="B36" s="4" t="str">
        <f aca="false">IF(B30&gt;20000,"YES: get icare HBCF cover BEFORE taking deposit","No")</f>
        <v>No</v>
      </c>
      <c r="C36" s="3"/>
      <c r="D36" s="3"/>
      <c r="E36" s="3"/>
    </row>
  </sheetData>
  <conditionalFormatting sqref="B35">
    <cfRule type="expression" priority="2" aboveAverage="0" equalAverage="0" bottom="0" percent="0" rank="0" text="" dxfId="0">
      <formula>LEFT(B35,3)="YES"</formula>
    </cfRule>
  </conditionalFormatting>
  <conditionalFormatting sqref="B36">
    <cfRule type="expression" priority="3" aboveAverage="0" equalAverage="0" bottom="0" percent="0" rank="0" text="" dxfId="0">
      <formula>LEFT(B36,3)="YES"</formula>
    </cfRule>
  </conditionalFormatting>
  <dataValidations count="2">
    <dataValidation allowBlank="false" errorStyle="stop" operator="between" showDropDown="false" showErrorMessage="false" showInputMessage="false" sqref="B4" type="list">
      <formula1>"Y,N"</formula1>
      <formula2>0</formula2>
    </dataValidation>
    <dataValidation allowBlank="true" errorStyle="stop" operator="between" showDropDown="false" showErrorMessage="false" showInputMessage="false" sqref="B7:B21" type="list">
      <formula1>"Labour hours,Materials at cost,Fixed price item"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2026-10-15T09:59:13Z</dcterms:created>
  <dc:creator>openpyxl</dc:creator>
  <dc:description/>
  <dc:language>en-US</dc:language>
  <cp:lastModifiedBy/>
  <dcterms:modified xsi:type="dcterms:W3CDTF">2026-10-15T09:59:13Z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